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mik\Downloads\"/>
    </mc:Choice>
  </mc:AlternateContent>
  <xr:revisionPtr revIDLastSave="0" documentId="13_ncr:1_{47169AC2-AF05-42E5-A6A2-FA226496F67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</calcChain>
</file>

<file path=xl/sharedStrings.xml><?xml version="1.0" encoding="utf-8"?>
<sst xmlns="http://schemas.openxmlformats.org/spreadsheetml/2006/main" count="304" uniqueCount="156">
  <si>
    <t xml:space="preserve">Planned Sprint </t>
  </si>
  <si>
    <t xml:space="preserve">Actual Sprint </t>
  </si>
  <si>
    <t>US ID</t>
  </si>
  <si>
    <t>User Story Description</t>
  </si>
  <si>
    <t>MOSCOW</t>
  </si>
  <si>
    <t>Dependency</t>
  </si>
  <si>
    <t>Assignee</t>
  </si>
  <si>
    <t>Status</t>
  </si>
  <si>
    <t>NOTES:Task size should be between 0.5 to 12 hours</t>
  </si>
  <si>
    <t>Task ID</t>
  </si>
  <si>
    <t>Task Start Date</t>
  </si>
  <si>
    <t>Task Completion Date</t>
  </si>
  <si>
    <t>Team Member</t>
  </si>
  <si>
    <t>Activity</t>
  </si>
  <si>
    <t>Original Estimate Effort(In hours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</si>
  <si>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</si>
  <si>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</si>
  <si>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</si>
  <si>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</si>
  <si>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</si>
  <si>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</si>
  <si>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</si>
  <si>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</si>
  <si>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</si>
  <si>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</si>
  <si>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</si>
  <si>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</si>
  <si>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</si>
  <si>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 xml:space="preserve">                                                                                                                                                                                                                      SPRINT 1 BACKLOG</t>
  </si>
  <si>
    <t>Sprint</t>
  </si>
  <si>
    <t>Day</t>
  </si>
  <si>
    <t>Impediments</t>
  </si>
  <si>
    <t>Actions Taken</t>
  </si>
  <si>
    <t>SL#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</si>
  <si>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</si>
  <si>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</si>
  <si>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</si>
  <si>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</si>
  <si>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</si>
  <si>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</si>
  <si>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</si>
  <si>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Doing</t>
  </si>
  <si>
    <t>Sprint 1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</si>
  <si>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</si>
  <si>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</si>
  <si>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</si>
  <si>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</si>
  <si>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</si>
  <si>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</si>
  <si>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</si>
  <si>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</si>
  <si>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Enter ticket description</t>
  </si>
  <si>
    <t>Preprocess user input</t>
  </si>
  <si>
    <t>Categorize tickets using AI</t>
  </si>
  <si>
    <t>Auto-assign priority</t>
  </si>
  <si>
    <t>Persist tickets in database</t>
  </si>
  <si>
    <t>Display all tickets</t>
  </si>
  <si>
    <t>Update ticket status</t>
  </si>
  <si>
    <t>Close resolved tickets</t>
  </si>
  <si>
    <t>Must Have</t>
  </si>
  <si>
    <t>Should Have</t>
  </si>
  <si>
    <t>Could Have</t>
  </si>
  <si>
    <t>None</t>
  </si>
  <si>
    <t>Done</t>
  </si>
  <si>
    <t>Sprint 2</t>
  </si>
  <si>
    <t>Sprint 3</t>
  </si>
  <si>
    <t>Day 14</t>
  </si>
  <si>
    <t>T-01</t>
  </si>
  <si>
    <t>Collect and analyze historical ticket dataset</t>
  </si>
  <si>
    <t xml:space="preserve">Task Descriptions     </t>
  </si>
  <si>
    <t>Design</t>
  </si>
  <si>
    <t>ü</t>
  </si>
  <si>
    <t>T-02</t>
  </si>
  <si>
    <t>Clean and preprocess ticket text data</t>
  </si>
  <si>
    <t>Coding</t>
  </si>
  <si>
    <t>T-03</t>
  </si>
  <si>
    <t>Train ML model for ticket classification</t>
  </si>
  <si>
    <t>Build</t>
  </si>
  <si>
    <t>T-04</t>
  </si>
  <si>
    <t>Implement Named Entity Recognition (NER)</t>
  </si>
  <si>
    <t>T-05</t>
  </si>
  <si>
    <t>Predict ticket category and priority</t>
  </si>
  <si>
    <t>T-06</t>
  </si>
  <si>
    <t>Develop ticket creation engine (structured output)</t>
  </si>
  <si>
    <t>T-07</t>
  </si>
  <si>
    <t>T-08</t>
  </si>
  <si>
    <t>Implement ticket status workflow</t>
  </si>
  <si>
    <t>US-09</t>
  </si>
  <si>
    <t>T-09</t>
  </si>
  <si>
    <t>Design and implement Streamlit UI</t>
  </si>
  <si>
    <t>US-10</t>
  </si>
  <si>
    <t>T-10</t>
  </si>
  <si>
    <t>Integrate UI with AI and database</t>
  </si>
  <si>
    <t>Integration Test</t>
  </si>
  <si>
    <t>US-11</t>
  </si>
  <si>
    <t>T-11</t>
  </si>
  <si>
    <t>Perform system testing</t>
  </si>
  <si>
    <t>System Test</t>
  </si>
  <si>
    <t>US-12</t>
  </si>
  <si>
    <t>T-12</t>
  </si>
  <si>
    <t>Regression testing and final validation</t>
  </si>
  <si>
    <t>Regression Test</t>
  </si>
  <si>
    <t xml:space="preserve">                                                                                                                                                                                                                      SPRINT 2 BACKLOG</t>
  </si>
  <si>
    <t>Dataset contained inconsistent and incomplete ticket descriptions</t>
  </si>
  <si>
    <t>Cleaned data and removed noisy records</t>
  </si>
  <si>
    <t>Text preprocessing reduced important keywords</t>
  </si>
  <si>
    <t>Adjusted stop-word list and preprocessing rules</t>
  </si>
  <si>
    <t>Low accuracy in ticket category prediction</t>
  </si>
  <si>
    <t>Tuned TF-IDF parameters and retrained model</t>
  </si>
  <si>
    <t>Named Entity Recognition missing some entities</t>
  </si>
  <si>
    <t>Improved NER patterns and re-evaluated data</t>
  </si>
  <si>
    <t>Priority prediction inconsistent for urgent tickets</t>
  </si>
  <si>
    <t>Added rule-based priority override logic</t>
  </si>
  <si>
    <t>Difficulty in mapping predictions to ticket structure</t>
  </si>
  <si>
    <t>Redesigned ticket creation logic</t>
  </si>
  <si>
    <t>Ticket status updates not reflected correctly</t>
  </si>
  <si>
    <t>Fixed backend update workflow</t>
  </si>
  <si>
    <t>UI delays during ticket submission</t>
  </si>
  <si>
    <t>Optimized Streamlit state handling</t>
  </si>
  <si>
    <t>UI and backend integration issues</t>
  </si>
  <si>
    <t>Performed integration testing and bug fixes</t>
  </si>
  <si>
    <t>Day  9</t>
  </si>
  <si>
    <t>Minor functional bugs during testing</t>
  </si>
  <si>
    <t>Conducted system testing and fixes</t>
  </si>
  <si>
    <t>Edge-case failures found in regression testing</t>
  </si>
  <si>
    <t>Fixed issues and revalidated the system</t>
  </si>
  <si>
    <t>Early dataset analysis before model training</t>
  </si>
  <si>
    <t>Using raw uncleaned text for experiments</t>
  </si>
  <si>
    <t>Step-by-step ML development</t>
  </si>
  <si>
    <t>Improved preprocessing pipeline</t>
  </si>
  <si>
    <t>Validating dataset quality</t>
  </si>
  <si>
    <t>Parameter tuning</t>
  </si>
  <si>
    <t>Designing ticket creation logic clearly</t>
  </si>
  <si>
    <t>Modular backend coding</t>
  </si>
  <si>
    <t>Defining ticket status workflow</t>
  </si>
  <si>
    <t>Implemented Open–In Progress–Closed workflow</t>
  </si>
  <si>
    <t>UI development after backend stability</t>
  </si>
  <si>
    <t>Incremental integration</t>
  </si>
  <si>
    <t>Streamlit UI finalized</t>
  </si>
  <si>
    <t>System and regression testing</t>
  </si>
  <si>
    <t>Bug fixing</t>
  </si>
  <si>
    <t>Stability improvements</t>
  </si>
  <si>
    <t>Proper documentation</t>
  </si>
  <si>
    <t>Code comments</t>
  </si>
  <si>
    <t>Project finalized and reviewed</t>
  </si>
  <si>
    <t xml:space="preserve">                                                                                                                                                                                                                      SPRINT 3 BACKLOG</t>
  </si>
  <si>
    <t>Samiksha</t>
  </si>
  <si>
    <t>Using raw, uncleaned ticket text for model experiments</t>
  </si>
  <si>
    <t>Parallel UI and backend changes without synchronization</t>
  </si>
  <si>
    <t>Training ML models without evaluation metrics</t>
  </si>
  <si>
    <t>Temporary in-memory handling without structure</t>
  </si>
  <si>
    <t>Hard-coded ticket status values</t>
  </si>
  <si>
    <t>Adding features late in the sprint</t>
  </si>
  <si>
    <t>Clear separation of NLP logic and application logic</t>
  </si>
  <si>
    <t>Structured handling of ticket information in application logic</t>
  </si>
  <si>
    <t>Structure and manage generated ticket data within application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</si>
</sst>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/>
    <xf numFmtId="0" fontId="1" fillId="4" borderId="1" xfId="0" applyFont="1" applyFill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585354</xdr:colOff>
      <xdr:row>7</xdr:row>
      <xdr:rowOff>128154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D621C2-A6D1-E2B2-B1E2-4C306F854A03}"/>
            </a:ext>
          </a:extLst>
        </xdr:cNvPr>
        <xdr:cNvSpPr txBox="1"/>
      </xdr:nvSpPr>
      <xdr:spPr>
        <a:xfrm>
          <a:off x="5974772" y="16521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14</xdr:col>
      <xdr:colOff>183572</xdr:colOff>
      <xdr:row>9</xdr:row>
      <xdr:rowOff>176645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6A132D-1252-D5FF-44F3-863D7FA2DDFB}"/>
            </a:ext>
          </a:extLst>
        </xdr:cNvPr>
        <xdr:cNvSpPr txBox="1"/>
      </xdr:nvSpPr>
      <xdr:spPr>
        <a:xfrm>
          <a:off x="13670972" y="240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85" workbookViewId="0">
      <selection activeCell="G2" sqref="G2:G9"/>
    </sheetView>
  </sheetViews>
  <sheetFormatPr defaultRowHeight="14.4" x14ac:dyDescent="0.3"/>
  <cols>
    <col min="1" max="1" width="13.33203125" style="2" customWidth="1"/>
    <col min="2" max="2" width="19.5546875" style="2" customWidth="1"/>
    <col min="3" max="3" width="14" style="2" customWidth="1"/>
    <col min="4" max="4" width="78.109375" style="2" customWidth="1"/>
    <col min="5" max="5" width="18.6640625" style="2" customWidth="1"/>
    <col min="6" max="6" width="16.109375" style="2" customWidth="1"/>
    <col min="7" max="7" width="14.5546875" style="2" customWidth="1"/>
    <col min="8" max="8" width="13.33203125" style="2" customWidth="1"/>
    <col min="9" max="16384" width="8.88671875" style="2"/>
  </cols>
  <sheetData>
    <row r="1" spans="1:8" s="3" customFormat="1" ht="75" x14ac:dyDescent="0.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2" t="s">
        <v>42</v>
      </c>
      <c r="B2" s="2" t="s">
        <v>42</v>
      </c>
      <c r="C2" s="2" t="s">
        <v>43</v>
      </c>
      <c r="D2" s="2" t="s">
        <v>51</v>
      </c>
      <c r="E2" s="2" t="s">
        <v>59</v>
      </c>
      <c r="F2" s="2" t="s">
        <v>62</v>
      </c>
      <c r="G2" s="2" t="s">
        <v>146</v>
      </c>
      <c r="H2" s="2" t="s">
        <v>63</v>
      </c>
    </row>
    <row r="3" spans="1:8" x14ac:dyDescent="0.3">
      <c r="A3" s="2" t="s">
        <v>42</v>
      </c>
      <c r="B3" s="2" t="s">
        <v>42</v>
      </c>
      <c r="C3" s="2" t="s">
        <v>44</v>
      </c>
      <c r="D3" s="2" t="s">
        <v>52</v>
      </c>
      <c r="E3" s="2" t="s">
        <v>59</v>
      </c>
      <c r="F3" s="2" t="s">
        <v>43</v>
      </c>
      <c r="G3" s="2" t="s">
        <v>146</v>
      </c>
      <c r="H3" s="2" t="s">
        <v>63</v>
      </c>
    </row>
    <row r="4" spans="1:8" x14ac:dyDescent="0.3">
      <c r="A4" s="2" t="s">
        <v>42</v>
      </c>
      <c r="B4" s="2" t="s">
        <v>42</v>
      </c>
      <c r="C4" s="2" t="s">
        <v>45</v>
      </c>
      <c r="D4" s="2" t="s">
        <v>53</v>
      </c>
      <c r="E4" s="2" t="s">
        <v>59</v>
      </c>
      <c r="F4" s="2" t="s">
        <v>44</v>
      </c>
      <c r="G4" s="2" t="s">
        <v>146</v>
      </c>
      <c r="H4" s="2" t="s">
        <v>63</v>
      </c>
    </row>
    <row r="5" spans="1:8" x14ac:dyDescent="0.3">
      <c r="A5" s="2" t="s">
        <v>42</v>
      </c>
      <c r="B5" s="2" t="s">
        <v>42</v>
      </c>
      <c r="C5" s="2" t="s">
        <v>46</v>
      </c>
      <c r="D5" s="2" t="s">
        <v>54</v>
      </c>
      <c r="E5" s="2" t="s">
        <v>59</v>
      </c>
      <c r="F5" s="2" t="s">
        <v>45</v>
      </c>
      <c r="G5" s="2" t="s">
        <v>146</v>
      </c>
      <c r="H5" s="2" t="s">
        <v>63</v>
      </c>
    </row>
    <row r="6" spans="1:8" x14ac:dyDescent="0.3">
      <c r="A6" s="2" t="s">
        <v>64</v>
      </c>
      <c r="B6" s="2" t="s">
        <v>64</v>
      </c>
      <c r="C6" s="2" t="s">
        <v>47</v>
      </c>
      <c r="D6" s="2" t="s">
        <v>55</v>
      </c>
      <c r="E6" s="2" t="s">
        <v>59</v>
      </c>
      <c r="F6" s="2" t="s">
        <v>46</v>
      </c>
      <c r="G6" s="2" t="s">
        <v>146</v>
      </c>
      <c r="H6" s="2" t="s">
        <v>63</v>
      </c>
    </row>
    <row r="7" spans="1:8" x14ac:dyDescent="0.3">
      <c r="A7" s="2" t="s">
        <v>64</v>
      </c>
      <c r="B7" s="2" t="s">
        <v>64</v>
      </c>
      <c r="C7" s="2" t="s">
        <v>48</v>
      </c>
      <c r="D7" s="2" t="s">
        <v>56</v>
      </c>
      <c r="E7" s="2" t="s">
        <v>60</v>
      </c>
      <c r="F7" s="2" t="s">
        <v>47</v>
      </c>
      <c r="G7" s="2" t="s">
        <v>146</v>
      </c>
      <c r="H7" s="2" t="s">
        <v>63</v>
      </c>
    </row>
    <row r="8" spans="1:8" x14ac:dyDescent="0.3">
      <c r="A8" s="2" t="s">
        <v>65</v>
      </c>
      <c r="B8" s="2" t="s">
        <v>65</v>
      </c>
      <c r="C8" s="2" t="s">
        <v>49</v>
      </c>
      <c r="D8" s="2" t="s">
        <v>57</v>
      </c>
      <c r="E8" s="2" t="s">
        <v>60</v>
      </c>
      <c r="F8" s="2" t="s">
        <v>48</v>
      </c>
      <c r="G8" s="2" t="s">
        <v>146</v>
      </c>
      <c r="H8" s="2" t="s">
        <v>63</v>
      </c>
    </row>
    <row r="9" spans="1:8" x14ac:dyDescent="0.3">
      <c r="A9" s="2" t="s">
        <v>65</v>
      </c>
      <c r="B9" s="2" t="s">
        <v>65</v>
      </c>
      <c r="C9" s="2" t="s">
        <v>50</v>
      </c>
      <c r="D9" s="2" t="s">
        <v>58</v>
      </c>
      <c r="E9" s="2" t="s">
        <v>61</v>
      </c>
      <c r="F9" s="2" t="s">
        <v>49</v>
      </c>
      <c r="G9" s="2" t="s">
        <v>146</v>
      </c>
      <c r="H9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402B-FAFD-4B89-A35A-08E181A0B949}">
  <dimension ref="A1:Y31"/>
  <sheetViews>
    <sheetView topLeftCell="A2" zoomScale="110" workbookViewId="0">
      <selection activeCell="D5" sqref="D5"/>
    </sheetView>
  </sheetViews>
  <sheetFormatPr defaultRowHeight="14.4" x14ac:dyDescent="0.3"/>
  <cols>
    <col min="1" max="2" width="8.88671875" style="2"/>
    <col min="3" max="3" width="64.21875" style="2" customWidth="1"/>
    <col min="4" max="4" width="15" style="2" customWidth="1"/>
    <col min="5" max="5" width="19" style="2" customWidth="1"/>
    <col min="6" max="6" width="14.6640625" style="2" customWidth="1"/>
    <col min="7" max="7" width="16" style="2" customWidth="1"/>
    <col min="8" max="8" width="8.88671875" style="2"/>
    <col min="9" max="9" width="15.109375" style="2" customWidth="1"/>
    <col min="10" max="16384" width="8.88671875" style="2"/>
  </cols>
  <sheetData>
    <row r="1" spans="1:25" s="18" customFormat="1" ht="15" customHeight="1" x14ac:dyDescent="0.3">
      <c r="A1" s="18" t="s">
        <v>8</v>
      </c>
    </row>
    <row r="2" spans="1:25" s="9" customFormat="1" ht="43.8" customHeight="1" x14ac:dyDescent="0.3">
      <c r="A2" s="9" t="s">
        <v>2</v>
      </c>
      <c r="B2" s="9" t="s">
        <v>9</v>
      </c>
      <c r="C2" s="9" t="s">
        <v>69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7</v>
      </c>
      <c r="I2" s="10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9" t="s">
        <v>26</v>
      </c>
      <c r="V2" s="9" t="s">
        <v>27</v>
      </c>
      <c r="W2" s="9" t="s">
        <v>66</v>
      </c>
    </row>
    <row r="3" spans="1:25" s="11" customFormat="1" ht="22.8" customHeight="1" x14ac:dyDescent="0.3">
      <c r="I3" s="11">
        <f>IFERROR(SUM(I6:I40),0)</f>
        <v>56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</row>
    <row r="4" spans="1:25" s="19" customFormat="1" ht="22.2" customHeight="1" x14ac:dyDescent="0.3">
      <c r="A4" s="19" t="s">
        <v>28</v>
      </c>
    </row>
    <row r="5" spans="1:25" x14ac:dyDescent="0.3">
      <c r="A5" s="12" t="s">
        <v>43</v>
      </c>
      <c r="B5" s="12" t="s">
        <v>67</v>
      </c>
      <c r="C5" s="12" t="s">
        <v>68</v>
      </c>
      <c r="D5" s="13">
        <v>45988</v>
      </c>
      <c r="E5" s="13">
        <v>45990</v>
      </c>
      <c r="F5" s="12" t="s">
        <v>146</v>
      </c>
      <c r="G5" s="12" t="s">
        <v>70</v>
      </c>
      <c r="H5" s="12" t="s">
        <v>63</v>
      </c>
      <c r="I5" s="12">
        <v>4</v>
      </c>
      <c r="J5" s="14" t="s">
        <v>71</v>
      </c>
      <c r="K5" s="14" t="s">
        <v>71</v>
      </c>
      <c r="L5" s="14" t="s">
        <v>71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5" x14ac:dyDescent="0.3">
      <c r="A6" s="12" t="s">
        <v>44</v>
      </c>
      <c r="B6" s="12" t="s">
        <v>72</v>
      </c>
      <c r="C6" s="12" t="s">
        <v>73</v>
      </c>
      <c r="D6" s="13">
        <v>45991</v>
      </c>
      <c r="E6" s="13">
        <v>45994</v>
      </c>
      <c r="F6" s="12" t="s">
        <v>146</v>
      </c>
      <c r="G6" s="12" t="s">
        <v>74</v>
      </c>
      <c r="H6" s="12" t="s">
        <v>63</v>
      </c>
      <c r="I6" s="12">
        <v>5</v>
      </c>
      <c r="J6" s="14"/>
      <c r="K6" s="14" t="s">
        <v>71</v>
      </c>
      <c r="L6" s="14" t="s">
        <v>71</v>
      </c>
      <c r="M6" s="14" t="s">
        <v>71</v>
      </c>
      <c r="N6" s="14"/>
      <c r="O6" s="12"/>
      <c r="P6" s="12"/>
    </row>
    <row r="7" spans="1:25" x14ac:dyDescent="0.3">
      <c r="A7" s="12" t="s">
        <v>45</v>
      </c>
      <c r="B7" s="12" t="s">
        <v>75</v>
      </c>
      <c r="C7" s="12" t="s">
        <v>76</v>
      </c>
      <c r="D7" s="13">
        <v>45995</v>
      </c>
      <c r="E7" s="13">
        <v>45999</v>
      </c>
      <c r="F7" s="12" t="s">
        <v>146</v>
      </c>
      <c r="G7" s="12" t="s">
        <v>77</v>
      </c>
      <c r="H7" s="12" t="s">
        <v>63</v>
      </c>
      <c r="I7" s="12">
        <v>8</v>
      </c>
      <c r="J7" s="14"/>
      <c r="K7" s="14"/>
      <c r="L7" s="14" t="s">
        <v>71</v>
      </c>
      <c r="M7" s="14" t="s">
        <v>71</v>
      </c>
      <c r="N7" s="14" t="s">
        <v>71</v>
      </c>
      <c r="O7" s="14" t="s">
        <v>71</v>
      </c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3">
      <c r="A8" s="12" t="s">
        <v>46</v>
      </c>
      <c r="B8" s="12" t="s">
        <v>78</v>
      </c>
      <c r="C8" s="12" t="s">
        <v>79</v>
      </c>
      <c r="D8" s="13">
        <v>46000</v>
      </c>
      <c r="E8" s="13">
        <v>46002</v>
      </c>
      <c r="F8" s="12" t="s">
        <v>146</v>
      </c>
      <c r="G8" s="12" t="s">
        <v>74</v>
      </c>
      <c r="H8" s="12" t="s">
        <v>63</v>
      </c>
      <c r="I8" s="12">
        <v>6</v>
      </c>
      <c r="J8" s="14"/>
      <c r="K8" s="14"/>
      <c r="L8" s="14"/>
      <c r="M8" s="14" t="s">
        <v>71</v>
      </c>
      <c r="N8" s="14" t="s">
        <v>71</v>
      </c>
      <c r="O8" s="14" t="s">
        <v>71</v>
      </c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3">
      <c r="A9" s="12" t="s">
        <v>47</v>
      </c>
      <c r="B9" s="12" t="s">
        <v>80</v>
      </c>
      <c r="C9" s="12" t="s">
        <v>81</v>
      </c>
      <c r="D9" s="13">
        <v>46003</v>
      </c>
      <c r="E9" s="13">
        <v>46006</v>
      </c>
      <c r="F9" s="12" t="s">
        <v>146</v>
      </c>
      <c r="G9" s="12" t="s">
        <v>77</v>
      </c>
      <c r="H9" s="12" t="s">
        <v>63</v>
      </c>
      <c r="I9" s="12">
        <v>7</v>
      </c>
      <c r="J9" s="14"/>
      <c r="K9" s="14"/>
      <c r="L9" s="14"/>
      <c r="M9" s="12"/>
      <c r="N9" s="14" t="s">
        <v>71</v>
      </c>
      <c r="O9" s="14" t="s">
        <v>71</v>
      </c>
      <c r="P9" s="14" t="s">
        <v>71</v>
      </c>
      <c r="Q9" s="14" t="s">
        <v>71</v>
      </c>
      <c r="R9" s="12"/>
      <c r="S9" s="12"/>
      <c r="T9" s="12"/>
      <c r="U9" s="12"/>
      <c r="V9" s="12"/>
      <c r="W9" s="12"/>
      <c r="X9" s="12"/>
      <c r="Y9" s="12"/>
    </row>
    <row r="10" spans="1:25" s="20" customFormat="1" x14ac:dyDescent="0.3">
      <c r="A10" s="20" t="s">
        <v>102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 x14ac:dyDescent="0.3">
      <c r="A11" s="12" t="s">
        <v>48</v>
      </c>
      <c r="B11" s="15" t="s">
        <v>82</v>
      </c>
      <c r="C11" s="12" t="s">
        <v>83</v>
      </c>
      <c r="D11" s="13">
        <v>46007</v>
      </c>
      <c r="E11" s="13">
        <v>46011</v>
      </c>
      <c r="F11" s="12" t="s">
        <v>146</v>
      </c>
      <c r="G11" s="12" t="s">
        <v>74</v>
      </c>
      <c r="H11" s="12" t="s">
        <v>63</v>
      </c>
      <c r="I11" s="12">
        <v>6</v>
      </c>
      <c r="J11" s="14"/>
      <c r="K11" s="14"/>
      <c r="L11" s="14"/>
      <c r="M11" s="14"/>
      <c r="N11" s="14"/>
      <c r="O11" s="12"/>
      <c r="P11" s="14" t="s">
        <v>71</v>
      </c>
      <c r="Q11" s="14" t="s">
        <v>71</v>
      </c>
      <c r="R11" s="14" t="s">
        <v>71</v>
      </c>
      <c r="S11" s="12"/>
      <c r="T11" s="12"/>
      <c r="U11" s="12"/>
      <c r="V11" s="12"/>
      <c r="W11" s="12"/>
      <c r="X11" s="12"/>
      <c r="Y11" s="12"/>
    </row>
    <row r="12" spans="1:25" x14ac:dyDescent="0.3">
      <c r="A12" s="15" t="s">
        <v>49</v>
      </c>
      <c r="B12" s="12" t="s">
        <v>84</v>
      </c>
      <c r="C12" s="12" t="s">
        <v>155</v>
      </c>
      <c r="D12" s="13">
        <v>46012</v>
      </c>
      <c r="E12" s="13">
        <v>46017</v>
      </c>
      <c r="F12" s="12" t="s">
        <v>146</v>
      </c>
      <c r="G12" s="12" t="s">
        <v>77</v>
      </c>
      <c r="H12" s="12" t="s">
        <v>63</v>
      </c>
      <c r="I12" s="12">
        <v>5</v>
      </c>
      <c r="J12" s="14"/>
      <c r="K12" s="14"/>
      <c r="L12" s="14"/>
      <c r="M12" s="14"/>
      <c r="N12" s="12"/>
      <c r="O12" s="12"/>
      <c r="P12" s="12"/>
      <c r="Q12" s="14" t="s">
        <v>71</v>
      </c>
      <c r="R12" s="14" t="s">
        <v>71</v>
      </c>
      <c r="S12" s="12"/>
      <c r="T12" s="12"/>
      <c r="U12" s="12"/>
      <c r="V12" s="12"/>
      <c r="W12" s="12"/>
      <c r="X12" s="12"/>
      <c r="Y12" s="12"/>
    </row>
    <row r="13" spans="1:25" x14ac:dyDescent="0.3">
      <c r="A13" s="12" t="s">
        <v>50</v>
      </c>
      <c r="B13" s="12" t="s">
        <v>85</v>
      </c>
      <c r="C13" s="12" t="s">
        <v>86</v>
      </c>
      <c r="D13" s="13">
        <v>46018</v>
      </c>
      <c r="E13" s="13">
        <v>46020</v>
      </c>
      <c r="F13" s="12" t="s">
        <v>146</v>
      </c>
      <c r="G13" s="12" t="s">
        <v>77</v>
      </c>
      <c r="H13" s="12" t="s">
        <v>63</v>
      </c>
      <c r="I13" s="12">
        <v>4</v>
      </c>
      <c r="J13" s="14"/>
      <c r="K13" s="14"/>
      <c r="L13" s="14"/>
      <c r="M13" s="12"/>
      <c r="N13" s="12"/>
      <c r="O13" s="12"/>
      <c r="P13" s="12"/>
      <c r="Q13" s="12"/>
      <c r="R13" s="14" t="s">
        <v>71</v>
      </c>
      <c r="S13" s="14" t="s">
        <v>71</v>
      </c>
      <c r="T13" s="12"/>
      <c r="U13" s="12"/>
      <c r="V13" s="12"/>
      <c r="W13" s="12"/>
      <c r="X13" s="12"/>
      <c r="Y13" s="12"/>
    </row>
    <row r="14" spans="1:25" s="24" customFormat="1" x14ac:dyDescent="0.3">
      <c r="A14" s="20" t="s">
        <v>145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x14ac:dyDescent="0.3">
      <c r="A15" s="12" t="s">
        <v>87</v>
      </c>
      <c r="B15" s="12" t="s">
        <v>88</v>
      </c>
      <c r="C15" s="12" t="s">
        <v>89</v>
      </c>
      <c r="D15" s="16">
        <v>46028</v>
      </c>
      <c r="E15" s="13">
        <v>46032</v>
      </c>
      <c r="F15" s="12" t="s">
        <v>146</v>
      </c>
      <c r="G15" s="12" t="s">
        <v>70</v>
      </c>
      <c r="H15" s="12" t="s">
        <v>63</v>
      </c>
      <c r="I15" s="12">
        <v>6</v>
      </c>
      <c r="J15" s="12"/>
      <c r="K15" s="12"/>
      <c r="L15" s="12"/>
      <c r="M15" s="12"/>
      <c r="N15" s="12"/>
      <c r="O15" s="12"/>
      <c r="P15" s="12"/>
      <c r="Q15" s="14" t="s">
        <v>71</v>
      </c>
      <c r="R15" s="14" t="s">
        <v>71</v>
      </c>
      <c r="S15" s="14" t="s">
        <v>71</v>
      </c>
      <c r="T15" s="12"/>
      <c r="U15" s="12"/>
      <c r="V15" s="12"/>
      <c r="W15" s="12"/>
      <c r="X15" s="12"/>
      <c r="Y15" s="12"/>
    </row>
    <row r="16" spans="1:25" x14ac:dyDescent="0.3">
      <c r="A16" s="12" t="s">
        <v>90</v>
      </c>
      <c r="B16" s="12" t="s">
        <v>91</v>
      </c>
      <c r="C16" s="12" t="s">
        <v>92</v>
      </c>
      <c r="D16" s="13">
        <v>46033</v>
      </c>
      <c r="E16" s="13">
        <v>46035</v>
      </c>
      <c r="F16" s="12" t="s">
        <v>146</v>
      </c>
      <c r="G16" s="12" t="s">
        <v>93</v>
      </c>
      <c r="H16" s="12" t="s">
        <v>63</v>
      </c>
      <c r="I16" s="12">
        <v>4</v>
      </c>
      <c r="J16" s="12"/>
      <c r="K16" s="12"/>
      <c r="L16" s="12"/>
      <c r="M16" s="12"/>
      <c r="N16" s="12"/>
      <c r="O16" s="12"/>
      <c r="P16" s="12"/>
      <c r="Q16" s="12"/>
      <c r="R16" s="12"/>
      <c r="S16" s="14" t="s">
        <v>71</v>
      </c>
      <c r="T16" s="14" t="s">
        <v>71</v>
      </c>
      <c r="U16" s="12"/>
      <c r="V16" s="12"/>
      <c r="W16" s="12"/>
      <c r="X16" s="12"/>
      <c r="Y16" s="12"/>
    </row>
    <row r="17" spans="1:25" x14ac:dyDescent="0.3">
      <c r="A17" s="12" t="s">
        <v>94</v>
      </c>
      <c r="B17" s="12" t="s">
        <v>95</v>
      </c>
      <c r="C17" s="12" t="s">
        <v>96</v>
      </c>
      <c r="D17" s="13">
        <v>46036</v>
      </c>
      <c r="E17" s="13">
        <v>46038</v>
      </c>
      <c r="F17" s="12" t="s">
        <v>146</v>
      </c>
      <c r="G17" s="12" t="s">
        <v>97</v>
      </c>
      <c r="H17" s="12" t="s">
        <v>63</v>
      </c>
      <c r="I17" s="12">
        <v>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4" t="s">
        <v>71</v>
      </c>
      <c r="U17" s="14" t="s">
        <v>71</v>
      </c>
      <c r="V17" s="14" t="s">
        <v>71</v>
      </c>
      <c r="W17" s="12"/>
      <c r="X17" s="12"/>
      <c r="Y17" s="12"/>
    </row>
    <row r="18" spans="1:25" x14ac:dyDescent="0.3">
      <c r="A18" s="12" t="s">
        <v>98</v>
      </c>
      <c r="B18" s="12" t="s">
        <v>99</v>
      </c>
      <c r="C18" s="12" t="s">
        <v>100</v>
      </c>
      <c r="D18" s="13">
        <v>46039</v>
      </c>
      <c r="E18" s="13">
        <v>46040</v>
      </c>
      <c r="F18" s="12" t="s">
        <v>146</v>
      </c>
      <c r="G18" s="12" t="s">
        <v>101</v>
      </c>
      <c r="H18" s="12" t="s">
        <v>63</v>
      </c>
      <c r="I18" s="12">
        <v>2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4" t="s">
        <v>71</v>
      </c>
      <c r="W18" s="14" t="s">
        <v>71</v>
      </c>
      <c r="X18" s="12"/>
      <c r="Y18" s="12"/>
    </row>
    <row r="19" spans="1:25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</sheetData>
  <mergeCells count="4">
    <mergeCell ref="A1:XFD1"/>
    <mergeCell ref="A4:XFD4"/>
    <mergeCell ref="A10:XFD10"/>
    <mergeCell ref="A14:XFD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C137-7355-4E84-B931-D8B09F14D2CB}">
  <dimension ref="A1:D12"/>
  <sheetViews>
    <sheetView tabSelected="1" workbookViewId="0">
      <selection activeCell="C16" sqref="C16"/>
    </sheetView>
  </sheetViews>
  <sheetFormatPr defaultRowHeight="14.4" x14ac:dyDescent="0.3"/>
  <cols>
    <col min="1" max="1" width="21" style="2" customWidth="1"/>
    <col min="2" max="2" width="14.33203125" style="2" customWidth="1"/>
    <col min="3" max="3" width="60.77734375" style="2" customWidth="1"/>
    <col min="4" max="4" width="48.88671875" style="2" customWidth="1"/>
    <col min="5" max="16384" width="8.88671875" style="2"/>
  </cols>
  <sheetData>
    <row r="1" spans="1:4" s="17" customFormat="1" ht="51" customHeight="1" x14ac:dyDescent="0.3">
      <c r="A1" s="11" t="s">
        <v>29</v>
      </c>
      <c r="B1" s="11" t="s">
        <v>30</v>
      </c>
      <c r="C1" s="11" t="s">
        <v>31</v>
      </c>
      <c r="D1" s="11" t="s">
        <v>32</v>
      </c>
    </row>
    <row r="2" spans="1:4" x14ac:dyDescent="0.3">
      <c r="A2" s="2" t="s">
        <v>42</v>
      </c>
      <c r="B2" s="2" t="s">
        <v>16</v>
      </c>
      <c r="C2" s="2" t="s">
        <v>103</v>
      </c>
      <c r="D2" s="2" t="s">
        <v>104</v>
      </c>
    </row>
    <row r="3" spans="1:4" x14ac:dyDescent="0.3">
      <c r="A3" s="2" t="s">
        <v>42</v>
      </c>
      <c r="B3" s="2" t="s">
        <v>18</v>
      </c>
      <c r="C3" s="2" t="s">
        <v>105</v>
      </c>
      <c r="D3" s="2" t="s">
        <v>106</v>
      </c>
    </row>
    <row r="4" spans="1:4" x14ac:dyDescent="0.3">
      <c r="A4" s="2" t="s">
        <v>42</v>
      </c>
      <c r="B4" s="2" t="s">
        <v>20</v>
      </c>
      <c r="C4" s="2" t="s">
        <v>107</v>
      </c>
      <c r="D4" s="2" t="s">
        <v>108</v>
      </c>
    </row>
    <row r="5" spans="1:4" x14ac:dyDescent="0.3">
      <c r="A5" s="2" t="s">
        <v>42</v>
      </c>
      <c r="B5" s="2" t="s">
        <v>23</v>
      </c>
      <c r="C5" s="2" t="s">
        <v>109</v>
      </c>
      <c r="D5" s="2" t="s">
        <v>110</v>
      </c>
    </row>
    <row r="6" spans="1:4" x14ac:dyDescent="0.3">
      <c r="A6" s="2" t="s">
        <v>42</v>
      </c>
      <c r="B6" s="2" t="s">
        <v>25</v>
      </c>
      <c r="C6" s="2" t="s">
        <v>111</v>
      </c>
      <c r="D6" s="2" t="s">
        <v>112</v>
      </c>
    </row>
    <row r="7" spans="1:4" x14ac:dyDescent="0.3">
      <c r="A7" s="2" t="s">
        <v>64</v>
      </c>
      <c r="B7" s="2" t="s">
        <v>16</v>
      </c>
      <c r="C7" s="2" t="s">
        <v>113</v>
      </c>
      <c r="D7" s="2" t="s">
        <v>114</v>
      </c>
    </row>
    <row r="8" spans="1:4" x14ac:dyDescent="0.3">
      <c r="A8" s="2" t="s">
        <v>64</v>
      </c>
      <c r="B8" s="2" t="s">
        <v>22</v>
      </c>
      <c r="C8" s="2" t="s">
        <v>115</v>
      </c>
      <c r="D8" s="2" t="s">
        <v>116</v>
      </c>
    </row>
    <row r="9" spans="1:4" x14ac:dyDescent="0.3">
      <c r="A9" s="2" t="s">
        <v>65</v>
      </c>
      <c r="B9" s="2" t="s">
        <v>17</v>
      </c>
      <c r="C9" s="2" t="s">
        <v>117</v>
      </c>
      <c r="D9" s="2" t="s">
        <v>118</v>
      </c>
    </row>
    <row r="10" spans="1:4" x14ac:dyDescent="0.3">
      <c r="A10" s="2" t="s">
        <v>65</v>
      </c>
      <c r="B10" s="2" t="s">
        <v>20</v>
      </c>
      <c r="C10" s="2" t="s">
        <v>119</v>
      </c>
      <c r="D10" s="2" t="s">
        <v>120</v>
      </c>
    </row>
    <row r="11" spans="1:4" x14ac:dyDescent="0.3">
      <c r="A11" s="2" t="s">
        <v>65</v>
      </c>
      <c r="B11" s="2" t="s">
        <v>121</v>
      </c>
      <c r="C11" s="2" t="s">
        <v>122</v>
      </c>
      <c r="D11" s="2" t="s">
        <v>123</v>
      </c>
    </row>
    <row r="12" spans="1:4" x14ac:dyDescent="0.3">
      <c r="A12" s="2" t="s">
        <v>65</v>
      </c>
      <c r="B12" s="2" t="s">
        <v>26</v>
      </c>
      <c r="C12" s="2" t="s">
        <v>124</v>
      </c>
      <c r="D12" s="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17B8-9052-472A-BBAD-8A97FD9CAA3B}">
  <dimension ref="A1:I8"/>
  <sheetViews>
    <sheetView topLeftCell="C1" workbookViewId="0">
      <selection activeCell="F15" sqref="F15"/>
    </sheetView>
  </sheetViews>
  <sheetFormatPr defaultRowHeight="14.4" x14ac:dyDescent="0.3"/>
  <cols>
    <col min="1" max="1" width="14" customWidth="1"/>
    <col min="2" max="2" width="12.21875" customWidth="1"/>
    <col min="3" max="3" width="12" customWidth="1"/>
    <col min="4" max="4" width="11.77734375" customWidth="1"/>
    <col min="5" max="5" width="29.6640625" customWidth="1"/>
    <col min="6" max="6" width="38.5546875" customWidth="1"/>
    <col min="7" max="7" width="47.88671875" customWidth="1"/>
    <col min="8" max="8" width="47.77734375" customWidth="1"/>
    <col min="9" max="9" width="52" customWidth="1"/>
  </cols>
  <sheetData>
    <row r="1" spans="1:9" s="1" customFormat="1" ht="28.8" x14ac:dyDescent="0.3">
      <c r="A1" s="4" t="s">
        <v>33</v>
      </c>
      <c r="B1" s="4" t="s">
        <v>34</v>
      </c>
      <c r="C1" s="5" t="s">
        <v>35</v>
      </c>
      <c r="D1" s="5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spans="1:9" x14ac:dyDescent="0.3">
      <c r="A2" s="2">
        <v>1</v>
      </c>
      <c r="B2" t="s">
        <v>42</v>
      </c>
      <c r="C2" s="8">
        <v>45988</v>
      </c>
      <c r="D2" s="8">
        <v>46001</v>
      </c>
      <c r="E2" s="2" t="s">
        <v>146</v>
      </c>
      <c r="F2" s="2" t="s">
        <v>126</v>
      </c>
      <c r="G2" s="2" t="s">
        <v>147</v>
      </c>
      <c r="H2" t="s">
        <v>128</v>
      </c>
      <c r="I2" s="2" t="s">
        <v>129</v>
      </c>
    </row>
    <row r="3" spans="1:9" x14ac:dyDescent="0.3">
      <c r="A3" s="2">
        <v>2</v>
      </c>
      <c r="B3" s="2" t="s">
        <v>42</v>
      </c>
      <c r="C3" s="8">
        <v>45988</v>
      </c>
      <c r="D3" s="8">
        <v>46001</v>
      </c>
      <c r="E3" s="2" t="s">
        <v>146</v>
      </c>
      <c r="F3" s="2" t="s">
        <v>130</v>
      </c>
      <c r="G3" s="2" t="s">
        <v>149</v>
      </c>
      <c r="H3" s="2" t="s">
        <v>131</v>
      </c>
      <c r="I3" s="2" t="s">
        <v>131</v>
      </c>
    </row>
    <row r="4" spans="1:9" x14ac:dyDescent="0.3">
      <c r="A4" s="2">
        <v>3</v>
      </c>
      <c r="B4" s="2" t="s">
        <v>64</v>
      </c>
      <c r="C4" s="8">
        <v>46007</v>
      </c>
      <c r="D4" s="8">
        <v>46020</v>
      </c>
      <c r="E4" s="2" t="s">
        <v>146</v>
      </c>
      <c r="F4" s="2" t="s">
        <v>132</v>
      </c>
      <c r="G4" s="2" t="s">
        <v>150</v>
      </c>
      <c r="H4" s="2" t="s">
        <v>133</v>
      </c>
      <c r="I4" s="2" t="s">
        <v>154</v>
      </c>
    </row>
    <row r="5" spans="1:9" x14ac:dyDescent="0.3">
      <c r="A5" s="2">
        <v>4</v>
      </c>
      <c r="B5" s="2" t="s">
        <v>64</v>
      </c>
      <c r="C5" s="8">
        <v>46007</v>
      </c>
      <c r="D5" s="8">
        <v>46020</v>
      </c>
      <c r="E5" s="2" t="s">
        <v>146</v>
      </c>
      <c r="F5" s="2" t="s">
        <v>134</v>
      </c>
      <c r="G5" s="2" t="s">
        <v>151</v>
      </c>
      <c r="H5" s="2" t="s">
        <v>153</v>
      </c>
      <c r="I5" s="2" t="s">
        <v>135</v>
      </c>
    </row>
    <row r="6" spans="1:9" x14ac:dyDescent="0.3">
      <c r="A6" s="2">
        <v>5</v>
      </c>
      <c r="B6" s="2" t="s">
        <v>65</v>
      </c>
      <c r="C6" s="8">
        <v>46028</v>
      </c>
      <c r="D6" s="8">
        <v>46040</v>
      </c>
      <c r="E6" s="2" t="s">
        <v>146</v>
      </c>
      <c r="F6" s="2" t="s">
        <v>136</v>
      </c>
      <c r="G6" s="2" t="s">
        <v>148</v>
      </c>
      <c r="H6" s="2" t="s">
        <v>137</v>
      </c>
      <c r="I6" s="2" t="s">
        <v>138</v>
      </c>
    </row>
    <row r="7" spans="1:9" x14ac:dyDescent="0.3">
      <c r="A7" s="2">
        <v>6</v>
      </c>
      <c r="B7" s="2" t="s">
        <v>65</v>
      </c>
      <c r="C7" s="8">
        <v>46028</v>
      </c>
      <c r="D7" s="8">
        <v>46040</v>
      </c>
      <c r="E7" s="2" t="s">
        <v>146</v>
      </c>
      <c r="F7" s="2" t="s">
        <v>139</v>
      </c>
      <c r="G7" s="2" t="s">
        <v>152</v>
      </c>
      <c r="H7" s="2" t="s">
        <v>140</v>
      </c>
      <c r="I7" s="2" t="s">
        <v>141</v>
      </c>
    </row>
    <row r="8" spans="1:9" x14ac:dyDescent="0.3">
      <c r="A8" s="2">
        <v>7</v>
      </c>
      <c r="B8" s="2" t="s">
        <v>65</v>
      </c>
      <c r="C8" s="8">
        <v>46028</v>
      </c>
      <c r="D8" s="8">
        <v>46040</v>
      </c>
      <c r="E8" s="2" t="s">
        <v>146</v>
      </c>
      <c r="F8" s="2" t="s">
        <v>142</v>
      </c>
      <c r="G8" s="2" t="s">
        <v>127</v>
      </c>
      <c r="H8" s="2" t="s">
        <v>143</v>
      </c>
      <c r="I8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Samiksha Sheregar</cp:lastModifiedBy>
  <dcterms:created xsi:type="dcterms:W3CDTF">2015-06-05T18:17:20Z</dcterms:created>
  <dcterms:modified xsi:type="dcterms:W3CDTF">2026-01-22T16:23:49Z</dcterms:modified>
</cp:coreProperties>
</file>